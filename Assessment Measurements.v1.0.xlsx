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arand\Desktop\"/>
    </mc:Choice>
  </mc:AlternateContent>
  <xr:revisionPtr revIDLastSave="0" documentId="13_ncr:1_{6485821D-5AB3-49E0-A3A6-7E24AA2DFBE7}" xr6:coauthVersionLast="47" xr6:coauthVersionMax="47" xr10:uidLastSave="{00000000-0000-0000-0000-000000000000}"/>
  <bookViews>
    <workbookView xWindow="-120" yWindow="-120" windowWidth="20730" windowHeight="11040" activeTab="4" xr2:uid="{5A479E35-2C13-40CB-850D-F6E3884CAC61}"/>
  </bookViews>
  <sheets>
    <sheet name="3.1" sheetId="2" r:id="rId1"/>
    <sheet name="3.2" sheetId="4" r:id="rId2"/>
    <sheet name="3.3" sheetId="7" r:id="rId3"/>
    <sheet name="3.4" sheetId="9" r:id="rId4"/>
    <sheet name="3.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" i="9" l="1"/>
  <c r="D7" i="4"/>
  <c r="G7" i="4"/>
  <c r="J7" i="4"/>
  <c r="M7" i="4"/>
  <c r="G13" i="7"/>
  <c r="J13" i="7"/>
  <c r="M13" i="7" l="1"/>
  <c r="D14" i="7"/>
  <c r="D13" i="7"/>
  <c r="J10" i="4"/>
  <c r="J9" i="4"/>
  <c r="J8" i="4"/>
  <c r="J4" i="4"/>
  <c r="J5" i="4"/>
  <c r="J6" i="4"/>
  <c r="G14" i="4"/>
  <c r="J14" i="4"/>
  <c r="M14" i="4"/>
  <c r="D14" i="4"/>
  <c r="E11" i="9" l="1"/>
  <c r="H11" i="9"/>
  <c r="K11" i="9"/>
  <c r="D4" i="4"/>
  <c r="G4" i="4"/>
  <c r="M4" i="4"/>
  <c r="D5" i="4"/>
  <c r="G5" i="4"/>
  <c r="M5" i="4"/>
  <c r="D6" i="4"/>
  <c r="G6" i="4"/>
  <c r="M6" i="4"/>
  <c r="D8" i="4"/>
  <c r="G8" i="4"/>
  <c r="M8" i="4"/>
  <c r="D9" i="4"/>
  <c r="G9" i="4"/>
  <c r="M9" i="4"/>
  <c r="D10" i="4"/>
  <c r="G10" i="4"/>
  <c r="M10" i="4"/>
  <c r="D11" i="4"/>
  <c r="G11" i="4"/>
  <c r="J11" i="4"/>
  <c r="M11" i="4"/>
  <c r="D12" i="4"/>
  <c r="G12" i="4"/>
  <c r="J12" i="4"/>
  <c r="M12" i="4"/>
  <c r="D13" i="4"/>
  <c r="G13" i="4"/>
  <c r="J13" i="4"/>
  <c r="M13" i="4"/>
  <c r="D15" i="4"/>
  <c r="G15" i="4"/>
  <c r="J15" i="4"/>
  <c r="M15" i="4"/>
  <c r="M14" i="7"/>
  <c r="J14" i="7"/>
  <c r="G14" i="7"/>
  <c r="M12" i="7"/>
  <c r="J12" i="7"/>
  <c r="G12" i="7"/>
  <c r="D12" i="7"/>
  <c r="M11" i="7"/>
  <c r="J11" i="7"/>
  <c r="G11" i="7"/>
  <c r="D11" i="7"/>
  <c r="M10" i="7"/>
  <c r="J10" i="7"/>
  <c r="G10" i="7"/>
  <c r="D10" i="7"/>
  <c r="M9" i="7"/>
  <c r="J9" i="7"/>
  <c r="G9" i="7"/>
  <c r="D9" i="7"/>
  <c r="M8" i="7"/>
  <c r="J8" i="7"/>
  <c r="G8" i="7"/>
  <c r="D8" i="7"/>
  <c r="M7" i="7"/>
  <c r="J7" i="7"/>
  <c r="G7" i="7"/>
  <c r="D7" i="7"/>
  <c r="M6" i="7"/>
  <c r="J6" i="7"/>
  <c r="G6" i="7"/>
  <c r="D6" i="7"/>
  <c r="M5" i="7"/>
  <c r="J5" i="7"/>
  <c r="G5" i="7"/>
  <c r="D5" i="7"/>
  <c r="M4" i="7"/>
  <c r="J4" i="7"/>
  <c r="G4" i="7"/>
  <c r="D4" i="7"/>
  <c r="M3" i="7"/>
  <c r="J3" i="7"/>
  <c r="G3" i="7"/>
  <c r="D3" i="7"/>
</calcChain>
</file>

<file path=xl/sharedStrings.xml><?xml version="1.0" encoding="utf-8"?>
<sst xmlns="http://schemas.openxmlformats.org/spreadsheetml/2006/main" count="149" uniqueCount="81">
  <si>
    <t>جریان های ارزش و فرآیندها</t>
  </si>
  <si>
    <t>شرکاء و تأمین کنندگان</t>
  </si>
  <si>
    <t>کنترل تغییر</t>
  </si>
  <si>
    <t xml:space="preserve">مدیریت دارایی فناوری اطلاعات </t>
  </si>
  <si>
    <t xml:space="preserve">مدیریت رخداد </t>
  </si>
  <si>
    <t xml:space="preserve">مدیریت مشکل </t>
  </si>
  <si>
    <t>درصد</t>
  </si>
  <si>
    <t>تعریف و نگهداری اطلاعات کاتالوگ سرویس و نماهای استاندارد کاتالوگ سرویس</t>
  </si>
  <si>
    <t>ارائه و بروز نگه داشتن نماهای کاتالوگ سرویس برای مخاطبان هدف توافق شده</t>
  </si>
  <si>
    <t>مدیریت یک رویکرد مشترک به مدیریت دارایی فناوری اطلاعات</t>
  </si>
  <si>
    <t>مدیریت چرخه عمر و رکوردهای دارایی فناوری اطلاعات</t>
  </si>
  <si>
    <t>تصدیق، ممیزی و تحلیل دارایی های فناوری اطلاعات</t>
  </si>
  <si>
    <t>مدیریت یک رویکرد مشترک به مدیریت پیکربندی سرویس</t>
  </si>
  <si>
    <t>جمع آوری، مدیریت و ارائه اطلاعات پیکربندی</t>
  </si>
  <si>
    <t>تصدیق اطلاعات پیکربندی</t>
  </si>
  <si>
    <t>طرح ریزی پایش</t>
  </si>
  <si>
    <t>رسیدگی به رویداد</t>
  </si>
  <si>
    <t>بازنگری مدیریت پایش و رویداد</t>
  </si>
  <si>
    <t>رسیدگی و رفع رخداد</t>
  </si>
  <si>
    <t>کنترل تحقق درخواست سرویس</t>
  </si>
  <si>
    <t>بازنگری و بهینه سازی درخواست سرویس</t>
  </si>
  <si>
    <t>شناسایی پیشگیرانه مشکل</t>
  </si>
  <si>
    <t>شناسایی واکنشی مشکل</t>
  </si>
  <si>
    <t>کنترل مشکل</t>
  </si>
  <si>
    <t>کنترل خطا</t>
  </si>
  <si>
    <t>مدیریت چرخه عمر تغییر</t>
  </si>
  <si>
    <t>بهینه سازی تغییر</t>
  </si>
  <si>
    <t>مدیریت توافقنامه های سطح سرویس</t>
  </si>
  <si>
    <t xml:space="preserve">نظارت بر سطوح ارائه سرویس و کیفیت سرویس </t>
  </si>
  <si>
    <t xml:space="preserve"> اطلاعات و فناوری</t>
  </si>
  <si>
    <t xml:space="preserve"> سازمان ها و افراد</t>
  </si>
  <si>
    <t>پیوست 3.1 - محاسبات سطح توانمندی بر اساس قابلیت و واحد سازمانی</t>
  </si>
  <si>
    <t>تعداد محقق شده</t>
  </si>
  <si>
    <t>پیوست 3.3 - محاسبات درصد انطباق بر اساس قابلیت و ابعاد چهارگانه مدیریت سرویس</t>
  </si>
  <si>
    <t>مدیریت پیکربندی سرویس</t>
  </si>
  <si>
    <t>مدیریت دارایی فناوری اطلاعات</t>
  </si>
  <si>
    <t>مدیریت کاتالوگ سرویس</t>
  </si>
  <si>
    <t>قابلیت</t>
  </si>
  <si>
    <t>مدیریت رخداد</t>
  </si>
  <si>
    <t>مدیریت درخواست سرویس</t>
  </si>
  <si>
    <t>مدیریت مشکل</t>
  </si>
  <si>
    <t>مدیریت سطح سرویس</t>
  </si>
  <si>
    <t>پیوست 3.5 - محاسبات درصد انطباق بر اساس واحد سازمانی و فرآیند</t>
  </si>
  <si>
    <t>قابلیت / واحد سازمانی</t>
  </si>
  <si>
    <t>قابلیت / سطح توانمندی</t>
  </si>
  <si>
    <t>قابلیت / بعد</t>
  </si>
  <si>
    <t xml:space="preserve">مدیریت کاتالوگ سرویس </t>
  </si>
  <si>
    <t xml:space="preserve">مدیریت پیکربندی سرویس </t>
  </si>
  <si>
    <t>واحد سازمانی / فرآیند</t>
  </si>
  <si>
    <t>بعد / قابلیت</t>
  </si>
  <si>
    <t>تعداد کل بعد
 جریان های ارزش و فرآیندها</t>
  </si>
  <si>
    <t>تعداد کل بعد
 اطلاعات و فناوری</t>
  </si>
  <si>
    <t>تعداد کل بعد
 سازمان ها و افراد</t>
  </si>
  <si>
    <t>تعداد کل بعد
شرکاء و تأمین کنندگان</t>
  </si>
  <si>
    <t>*ستون هایی که با N/A مشخص گردیده اند نشان دهنده عدم کاربردپذیری قابلیت برای واحد ارزیابی شده مذکور بوده و از محاسبات سطوح توانمندی و میزان انطباق خارج گردیده اند</t>
  </si>
  <si>
    <t>پیوست 3.2 - محاسبات میزان انطباق بر اساس قابلیت و سطح توانمندی</t>
  </si>
  <si>
    <t>سطح تونمندی 2</t>
  </si>
  <si>
    <t>تعداد کل</t>
  </si>
  <si>
    <t>سطح توانمندی 3</t>
  </si>
  <si>
    <t>سطح توانمندی 4</t>
  </si>
  <si>
    <t>سطح توانمندی 5</t>
  </si>
  <si>
    <t>پیوست 3.4 - محاسبات میزان انطباق کل بر اساس ابعاد چهارگانه مدیریت سرویس و قابلیت</t>
  </si>
  <si>
    <t>بعد جریان های ارزش و فرآیند</t>
  </si>
  <si>
    <t>بعد اطلاعات و فناوری</t>
  </si>
  <si>
    <t>بعد سازمان ها و افراد</t>
  </si>
  <si>
    <t>بعد شرکا و تأمین کنندگان</t>
  </si>
  <si>
    <t>تعداد تحقق</t>
  </si>
  <si>
    <t>مدیریت ریسک</t>
  </si>
  <si>
    <t>مدیریت امنیت اطلاعات</t>
  </si>
  <si>
    <t>مدیریت دانش</t>
  </si>
  <si>
    <t>کل شرکت</t>
  </si>
  <si>
    <t>مدیریت پایش و رویداد</t>
  </si>
  <si>
    <t>راهبری مدیریت ریسک</t>
  </si>
  <si>
    <t>شناسایی، تحلیل و برطرف سازی ریسک</t>
  </si>
  <si>
    <t>پایش و بازنگری ریسک</t>
  </si>
  <si>
    <t>مدیریت رخداد امنیتی</t>
  </si>
  <si>
    <t>بازنگری و ممیزی</t>
  </si>
  <si>
    <t>بازبینی دوره ای رخداد</t>
  </si>
  <si>
    <t>ایجاد و نگهداری محیط مدیریت دانش</t>
  </si>
  <si>
    <t>اکتشاف اطلاعات بر اساس تقاضا</t>
  </si>
  <si>
    <t>مدیریت دارایی دانش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</si>
</sst>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IRANSans(FaNum)"/>
      <family val="1"/>
    </font>
    <font>
      <b/>
      <sz val="10"/>
      <color theme="0"/>
      <name val="IRANSans(FaNum)"/>
      <family val="1"/>
    </font>
    <font>
      <b/>
      <sz val="10"/>
      <color theme="1"/>
      <name val="IRANSans(FaNum)"/>
      <family val="1"/>
    </font>
    <font>
      <sz val="10"/>
      <color theme="1"/>
      <name val="IRANSans(FaNum)"/>
      <family val="1"/>
    </font>
  </fonts>
  <fills count="5">
    <fill>
      <patternFill patternType="none"/>
    </fill>
    <fill>
      <patternFill patternType="gray125"/>
    </fill>
    <fill>
      <patternFill patternType="solid">
        <fgColor rgb="FF68C4A7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446259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center" vertical="center"/>
    </xf>
    <xf numFmtId="2" fontId="0" fillId="0" borderId="0" xfId="0" applyNumberFormat="1"/>
    <xf numFmtId="0" fontId="0" fillId="0" borderId="0" xfId="0" applyAlignment="1">
      <alignment vertic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 wrapText="1"/>
    </xf>
    <xf numFmtId="2" fontId="3" fillId="2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wrapText="1" readingOrder="2"/>
    </xf>
    <xf numFmtId="0" fontId="3" fillId="2" borderId="1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10" fontId="4" fillId="3" borderId="1" xfId="0" applyNumberFormat="1" applyFont="1" applyFill="1" applyBorder="1" applyAlignment="1">
      <alignment horizontal="center" vertical="center"/>
    </xf>
    <xf numFmtId="10" fontId="4" fillId="3" borderId="1" xfId="0" applyNumberFormat="1" applyFont="1" applyFill="1" applyBorder="1" applyAlignment="1">
      <alignment horizontal="center" vertical="center" readingOrder="2"/>
    </xf>
    <xf numFmtId="0" fontId="2" fillId="4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446259"/>
      <color rgb="FF68C4A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A69EE-AED9-4E8D-B7C2-10E9731A7D29}">
  <sheetPr codeName="Sheet1"/>
  <dimension ref="A1:B16"/>
  <sheetViews>
    <sheetView rightToLeft="1" zoomScaleNormal="100" workbookViewId="0">
      <selection activeCell="D7" sqref="D7"/>
    </sheetView>
  </sheetViews>
  <sheetFormatPr defaultRowHeight="20.25" x14ac:dyDescent="0.55000000000000004"/>
  <cols>
    <col min="1" max="1" width="25.7109375" style="4" customWidth="1"/>
    <col min="2" max="2" width="27.42578125" style="4" customWidth="1"/>
    <col min="3" max="16384" width="9.140625" style="4"/>
  </cols>
  <sheetData>
    <row r="1" spans="1:2" ht="35.1" customHeight="1" x14ac:dyDescent="0.55000000000000004">
      <c r="A1" s="19" t="s">
        <v>31</v>
      </c>
      <c r="B1" s="19"/>
    </row>
    <row r="2" spans="1:2" s="5" customFormat="1" ht="35.1" customHeight="1" x14ac:dyDescent="0.55000000000000004">
      <c r="A2" s="9" t="s">
        <v>43</v>
      </c>
      <c r="B2" s="9" t="s">
        <v>70</v>
      </c>
    </row>
    <row r="3" spans="1:2" s="5" customFormat="1" ht="24.95" customHeight="1" x14ac:dyDescent="0.55000000000000004">
      <c r="A3" s="11" t="s">
        <v>46</v>
      </c>
      <c r="B3" s="10">
        <v>0.3</v>
      </c>
    </row>
    <row r="4" spans="1:2" s="5" customFormat="1" ht="24.95" customHeight="1" x14ac:dyDescent="0.55000000000000004">
      <c r="A4" s="11" t="s">
        <v>3</v>
      </c>
      <c r="B4" s="10">
        <v>0.25</v>
      </c>
    </row>
    <row r="5" spans="1:2" s="5" customFormat="1" ht="24.95" customHeight="1" x14ac:dyDescent="0.55000000000000004">
      <c r="A5" s="11" t="s">
        <v>47</v>
      </c>
      <c r="B5" s="10">
        <v>0.5</v>
      </c>
    </row>
    <row r="6" spans="1:2" s="5" customFormat="1" ht="24.95" customHeight="1" x14ac:dyDescent="0.55000000000000004">
      <c r="A6" s="11" t="s">
        <v>67</v>
      </c>
      <c r="B6" s="10">
        <v>0.9</v>
      </c>
    </row>
    <row r="7" spans="1:2" s="5" customFormat="1" ht="24.95" customHeight="1" x14ac:dyDescent="0.55000000000000004">
      <c r="A7" s="11" t="s">
        <v>68</v>
      </c>
      <c r="B7" s="10">
        <v>0.6</v>
      </c>
    </row>
    <row r="8" spans="1:2" s="5" customFormat="1" ht="24.95" customHeight="1" x14ac:dyDescent="0.55000000000000004">
      <c r="A8" s="11" t="s">
        <v>71</v>
      </c>
      <c r="B8" s="10">
        <v>0.4</v>
      </c>
    </row>
    <row r="9" spans="1:2" s="5" customFormat="1" ht="24.95" customHeight="1" x14ac:dyDescent="0.55000000000000004">
      <c r="A9" s="11" t="s">
        <v>4</v>
      </c>
      <c r="B9" s="10">
        <v>0.1</v>
      </c>
    </row>
    <row r="10" spans="1:2" s="5" customFormat="1" ht="24.95" customHeight="1" x14ac:dyDescent="0.55000000000000004">
      <c r="A10" s="11" t="s">
        <v>39</v>
      </c>
      <c r="B10" s="10">
        <v>0.75</v>
      </c>
    </row>
    <row r="11" spans="1:2" s="5" customFormat="1" ht="24.95" customHeight="1" x14ac:dyDescent="0.55000000000000004">
      <c r="A11" s="11" t="s">
        <v>5</v>
      </c>
      <c r="B11" s="10">
        <v>0</v>
      </c>
    </row>
    <row r="12" spans="1:2" s="5" customFormat="1" ht="24.95" customHeight="1" x14ac:dyDescent="0.55000000000000004">
      <c r="A12" s="11" t="s">
        <v>69</v>
      </c>
      <c r="B12" s="10">
        <v>0</v>
      </c>
    </row>
    <row r="13" spans="1:2" s="5" customFormat="1" ht="24.95" customHeight="1" x14ac:dyDescent="0.55000000000000004">
      <c r="A13" s="11" t="s">
        <v>2</v>
      </c>
      <c r="B13" s="10">
        <v>0.1</v>
      </c>
    </row>
    <row r="14" spans="1:2" s="5" customFormat="1" ht="24.95" customHeight="1" x14ac:dyDescent="0.55000000000000004">
      <c r="A14" s="11" t="s">
        <v>41</v>
      </c>
      <c r="B14" s="10">
        <v>0</v>
      </c>
    </row>
    <row r="16" spans="1:2" x14ac:dyDescent="0.55000000000000004">
      <c r="A16" s="20" t="s">
        <v>54</v>
      </c>
      <c r="B16" s="20"/>
    </row>
  </sheetData>
  <mergeCells count="2">
    <mergeCell ref="A1:B1"/>
    <mergeCell ref="A16:B1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A336B-15AB-435F-B868-A42C5B3C18EE}">
  <sheetPr codeName="Sheet2"/>
  <dimension ref="A1:M19"/>
  <sheetViews>
    <sheetView rightToLeft="1" view="pageBreakPreview" zoomScale="85" zoomScaleNormal="85" zoomScaleSheetLayoutView="85" workbookViewId="0">
      <pane ySplit="1" topLeftCell="A2" activePane="bottomLeft" state="frozen"/>
      <selection pane="bottomLeft" activeCell="C3" sqref="A2:D4"/>
    </sheetView>
  </sheetViews>
  <sheetFormatPr defaultRowHeight="15" x14ac:dyDescent="0.25"/>
  <cols>
    <col min="1" max="13" width="25.7109375" style="1" customWidth="1"/>
  </cols>
  <sheetData>
    <row r="1" spans="1:13" ht="35.1" customHeight="1" x14ac:dyDescent="0.25">
      <c r="A1" s="19" t="s">
        <v>55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</row>
    <row r="2" spans="1:13" ht="24.95" customHeight="1" x14ac:dyDescent="0.25">
      <c r="A2" s="21" t="s">
        <v>44</v>
      </c>
      <c r="B2" s="21" t="s">
        <v>56</v>
      </c>
      <c r="C2" s="21"/>
      <c r="D2" s="21"/>
      <c r="E2" s="21" t="s">
        <v>58</v>
      </c>
      <c r="F2" s="21"/>
      <c r="G2" s="21"/>
      <c r="H2" s="21" t="s">
        <v>59</v>
      </c>
      <c r="I2" s="21"/>
      <c r="J2" s="21"/>
      <c r="K2" s="21" t="s">
        <v>60</v>
      </c>
      <c r="L2" s="21"/>
      <c r="M2" s="21"/>
    </row>
    <row r="3" spans="1:13" ht="24.95" customHeight="1" x14ac:dyDescent="0.25">
      <c r="A3" s="21"/>
      <c r="B3" s="11" t="s">
        <v>32</v>
      </c>
      <c r="C3" s="11" t="s">
        <v>57</v>
      </c>
      <c r="D3" s="11" t="s">
        <v>6</v>
      </c>
      <c r="E3" s="11" t="s">
        <v>32</v>
      </c>
      <c r="F3" s="11" t="s">
        <v>57</v>
      </c>
      <c r="G3" s="11" t="s">
        <v>6</v>
      </c>
      <c r="H3" s="11" t="s">
        <v>32</v>
      </c>
      <c r="I3" s="11" t="s">
        <v>57</v>
      </c>
      <c r="J3" s="11" t="s">
        <v>6</v>
      </c>
      <c r="K3" s="11" t="s">
        <v>32</v>
      </c>
      <c r="L3" s="11" t="s">
        <v>57</v>
      </c>
      <c r="M3" s="11" t="s">
        <v>6</v>
      </c>
    </row>
    <row r="4" spans="1:13" ht="24.95" customHeight="1" x14ac:dyDescent="0.25">
      <c r="A4" s="11" t="s">
        <v>46</v>
      </c>
      <c r="B4" s="10">
        <v>1</v>
      </c>
      <c r="C4" s="10">
        <v>3</v>
      </c>
      <c r="D4" s="12">
        <f>B4/C4*100</f>
        <v>33.333333333333329</v>
      </c>
      <c r="E4" s="10">
        <v>1</v>
      </c>
      <c r="F4" s="10">
        <v>5</v>
      </c>
      <c r="G4" s="12">
        <f>E4/F4*100</f>
        <v>20</v>
      </c>
      <c r="H4" s="10">
        <v>0</v>
      </c>
      <c r="I4" s="10">
        <v>1</v>
      </c>
      <c r="J4" s="12">
        <f>H4/I4*100</f>
        <v>0</v>
      </c>
      <c r="K4" s="10">
        <v>0</v>
      </c>
      <c r="L4" s="10">
        <v>2</v>
      </c>
      <c r="M4" s="12">
        <f>K4/L4*100</f>
        <v>0</v>
      </c>
    </row>
    <row r="5" spans="1:13" ht="24.95" customHeight="1" x14ac:dyDescent="0.25">
      <c r="A5" s="11" t="s">
        <v>3</v>
      </c>
      <c r="B5" s="10">
        <v>1</v>
      </c>
      <c r="C5" s="10">
        <v>4</v>
      </c>
      <c r="D5" s="12">
        <f t="shared" ref="D5:D15" si="0">B5/C5*100</f>
        <v>25</v>
      </c>
      <c r="E5" s="10">
        <v>2</v>
      </c>
      <c r="F5" s="10">
        <v>3</v>
      </c>
      <c r="G5" s="12">
        <f t="shared" ref="G5:G15" si="1">E5/F5*100</f>
        <v>66.666666666666657</v>
      </c>
      <c r="H5" s="10">
        <v>1</v>
      </c>
      <c r="I5" s="10">
        <v>4</v>
      </c>
      <c r="J5" s="12">
        <f t="shared" ref="J5:J15" si="2">H5/I5*100</f>
        <v>25</v>
      </c>
      <c r="K5" s="10">
        <v>0</v>
      </c>
      <c r="L5" s="10">
        <v>3</v>
      </c>
      <c r="M5" s="12">
        <f t="shared" ref="M5:M13" si="3">K5/L5*100</f>
        <v>0</v>
      </c>
    </row>
    <row r="6" spans="1:13" ht="24.95" customHeight="1" x14ac:dyDescent="0.25">
      <c r="A6" s="11" t="s">
        <v>47</v>
      </c>
      <c r="B6" s="10">
        <v>2</v>
      </c>
      <c r="C6" s="10">
        <v>4</v>
      </c>
      <c r="D6" s="12">
        <f t="shared" si="0"/>
        <v>50</v>
      </c>
      <c r="E6" s="10">
        <v>1</v>
      </c>
      <c r="F6" s="10">
        <v>3</v>
      </c>
      <c r="G6" s="12">
        <f t="shared" si="1"/>
        <v>33.333333333333329</v>
      </c>
      <c r="H6" s="10">
        <v>0</v>
      </c>
      <c r="I6" s="10">
        <v>1</v>
      </c>
      <c r="J6" s="12">
        <f>H6/I6*100</f>
        <v>0</v>
      </c>
      <c r="K6" s="10">
        <v>0</v>
      </c>
      <c r="L6" s="10">
        <v>2</v>
      </c>
      <c r="M6" s="12">
        <f t="shared" si="3"/>
        <v>0</v>
      </c>
    </row>
    <row r="7" spans="1:13" ht="24.95" customHeight="1" x14ac:dyDescent="0.25">
      <c r="A7" s="11" t="s">
        <v>67</v>
      </c>
      <c r="B7" s="10">
        <v>8</v>
      </c>
      <c r="C7" s="10">
        <v>10</v>
      </c>
      <c r="D7" s="12">
        <f t="shared" si="0"/>
        <v>80</v>
      </c>
      <c r="E7" s="10">
        <v>5</v>
      </c>
      <c r="F7" s="10">
        <v>9</v>
      </c>
      <c r="G7" s="12">
        <f t="shared" si="1"/>
        <v>55.555555555555557</v>
      </c>
      <c r="H7" s="10">
        <v>0</v>
      </c>
      <c r="I7" s="10">
        <v>5</v>
      </c>
      <c r="J7" s="12">
        <f>H7/I7*100</f>
        <v>0</v>
      </c>
      <c r="K7" s="10">
        <v>0</v>
      </c>
      <c r="L7" s="10">
        <v>2</v>
      </c>
      <c r="M7" s="12">
        <f t="shared" si="3"/>
        <v>0</v>
      </c>
    </row>
    <row r="8" spans="1:13" ht="24.95" customHeight="1" x14ac:dyDescent="0.25">
      <c r="A8" s="11" t="s">
        <v>68</v>
      </c>
      <c r="B8" s="10">
        <v>5</v>
      </c>
      <c r="C8" s="10">
        <v>8</v>
      </c>
      <c r="D8" s="12">
        <f t="shared" si="0"/>
        <v>62.5</v>
      </c>
      <c r="E8" s="10">
        <v>2</v>
      </c>
      <c r="F8" s="10">
        <v>6</v>
      </c>
      <c r="G8" s="12">
        <f t="shared" si="1"/>
        <v>33.333333333333329</v>
      </c>
      <c r="H8" s="10">
        <v>1</v>
      </c>
      <c r="I8" s="10">
        <v>12</v>
      </c>
      <c r="J8" s="12">
        <f>H8/I8*100</f>
        <v>8.3333333333333321</v>
      </c>
      <c r="K8" s="10">
        <v>0</v>
      </c>
      <c r="L8" s="10">
        <v>2</v>
      </c>
      <c r="M8" s="12">
        <f t="shared" si="3"/>
        <v>0</v>
      </c>
    </row>
    <row r="9" spans="1:13" ht="24.95" customHeight="1" x14ac:dyDescent="0.25">
      <c r="A9" s="11" t="s">
        <v>71</v>
      </c>
      <c r="B9" s="10">
        <v>2</v>
      </c>
      <c r="C9" s="10">
        <v>5</v>
      </c>
      <c r="D9" s="12">
        <f t="shared" si="0"/>
        <v>40</v>
      </c>
      <c r="E9" s="10">
        <v>1</v>
      </c>
      <c r="F9" s="10">
        <v>10</v>
      </c>
      <c r="G9" s="12">
        <f t="shared" si="1"/>
        <v>10</v>
      </c>
      <c r="H9" s="10">
        <v>0</v>
      </c>
      <c r="I9" s="10">
        <v>1</v>
      </c>
      <c r="J9" s="12">
        <f>H9/I9*100</f>
        <v>0</v>
      </c>
      <c r="K9" s="10">
        <v>0</v>
      </c>
      <c r="L9" s="10">
        <v>1</v>
      </c>
      <c r="M9" s="12">
        <f t="shared" si="3"/>
        <v>0</v>
      </c>
    </row>
    <row r="10" spans="1:13" ht="24.95" customHeight="1" x14ac:dyDescent="0.25">
      <c r="A10" s="11" t="s">
        <v>38</v>
      </c>
      <c r="B10" s="10">
        <v>1</v>
      </c>
      <c r="C10" s="10">
        <v>9</v>
      </c>
      <c r="D10" s="12">
        <f t="shared" si="0"/>
        <v>11.111111111111111</v>
      </c>
      <c r="E10" s="10">
        <v>0</v>
      </c>
      <c r="F10" s="10">
        <v>4</v>
      </c>
      <c r="G10" s="12">
        <f t="shared" si="1"/>
        <v>0</v>
      </c>
      <c r="H10" s="10">
        <v>0</v>
      </c>
      <c r="I10" s="10">
        <v>1</v>
      </c>
      <c r="J10" s="12">
        <f t="shared" si="2"/>
        <v>0</v>
      </c>
      <c r="K10" s="10">
        <v>0</v>
      </c>
      <c r="L10" s="10">
        <v>2</v>
      </c>
      <c r="M10" s="12">
        <f t="shared" si="3"/>
        <v>0</v>
      </c>
    </row>
    <row r="11" spans="1:13" ht="24.95" customHeight="1" x14ac:dyDescent="0.25">
      <c r="A11" s="11" t="s">
        <v>39</v>
      </c>
      <c r="B11" s="10">
        <v>3</v>
      </c>
      <c r="C11" s="10">
        <v>4</v>
      </c>
      <c r="D11" s="12">
        <f t="shared" si="0"/>
        <v>75</v>
      </c>
      <c r="E11" s="10">
        <v>1</v>
      </c>
      <c r="F11" s="10">
        <v>3</v>
      </c>
      <c r="G11" s="12">
        <f t="shared" si="1"/>
        <v>33.333333333333329</v>
      </c>
      <c r="H11" s="10">
        <v>0</v>
      </c>
      <c r="I11" s="10">
        <v>2</v>
      </c>
      <c r="J11" s="12">
        <f t="shared" si="2"/>
        <v>0</v>
      </c>
      <c r="K11" s="10">
        <v>0</v>
      </c>
      <c r="L11" s="10">
        <v>2</v>
      </c>
      <c r="M11" s="12">
        <f t="shared" si="3"/>
        <v>0</v>
      </c>
    </row>
    <row r="12" spans="1:13" ht="24.95" customHeight="1" x14ac:dyDescent="0.25">
      <c r="A12" s="11" t="s">
        <v>40</v>
      </c>
      <c r="B12" s="10">
        <v>0</v>
      </c>
      <c r="C12" s="10">
        <v>6</v>
      </c>
      <c r="D12" s="12">
        <f t="shared" si="0"/>
        <v>0</v>
      </c>
      <c r="E12" s="10">
        <v>0</v>
      </c>
      <c r="F12" s="10">
        <v>3</v>
      </c>
      <c r="G12" s="12">
        <f t="shared" si="1"/>
        <v>0</v>
      </c>
      <c r="H12" s="10">
        <v>0</v>
      </c>
      <c r="I12" s="10">
        <v>2</v>
      </c>
      <c r="J12" s="12">
        <f t="shared" si="2"/>
        <v>0</v>
      </c>
      <c r="K12" s="10">
        <v>0</v>
      </c>
      <c r="L12" s="10">
        <v>2</v>
      </c>
      <c r="M12" s="12">
        <f t="shared" si="3"/>
        <v>0</v>
      </c>
    </row>
    <row r="13" spans="1:13" ht="24.95" customHeight="1" x14ac:dyDescent="0.25">
      <c r="A13" s="11" t="s">
        <v>69</v>
      </c>
      <c r="B13" s="10">
        <v>0</v>
      </c>
      <c r="C13" s="10">
        <v>1</v>
      </c>
      <c r="D13" s="12">
        <f t="shared" si="0"/>
        <v>0</v>
      </c>
      <c r="E13" s="10">
        <v>0</v>
      </c>
      <c r="F13" s="10">
        <v>5</v>
      </c>
      <c r="G13" s="12">
        <f t="shared" si="1"/>
        <v>0</v>
      </c>
      <c r="H13" s="10">
        <v>0</v>
      </c>
      <c r="I13" s="10">
        <v>2</v>
      </c>
      <c r="J13" s="12">
        <f t="shared" si="2"/>
        <v>0</v>
      </c>
      <c r="K13" s="10">
        <v>0</v>
      </c>
      <c r="L13" s="10">
        <v>1</v>
      </c>
      <c r="M13" s="12">
        <f t="shared" si="3"/>
        <v>0</v>
      </c>
    </row>
    <row r="14" spans="1:13" ht="24.95" customHeight="1" x14ac:dyDescent="0.25">
      <c r="A14" s="11" t="s">
        <v>2</v>
      </c>
      <c r="B14" s="10">
        <v>1</v>
      </c>
      <c r="C14" s="10">
        <v>10</v>
      </c>
      <c r="D14" s="12">
        <f t="shared" si="0"/>
        <v>10</v>
      </c>
      <c r="E14" s="10">
        <v>1</v>
      </c>
      <c r="F14" s="10">
        <v>8</v>
      </c>
      <c r="G14" s="12">
        <f t="shared" ref="G14" si="4">E14/F14*100</f>
        <v>12.5</v>
      </c>
      <c r="H14" s="10">
        <v>0</v>
      </c>
      <c r="I14" s="10">
        <v>2</v>
      </c>
      <c r="J14" s="12">
        <f t="shared" ref="J14" si="5">H14/I14*100</f>
        <v>0</v>
      </c>
      <c r="K14" s="10">
        <v>0</v>
      </c>
      <c r="L14" s="10">
        <v>4</v>
      </c>
      <c r="M14" s="12">
        <f t="shared" ref="M14" si="6">K14/L14*100</f>
        <v>0</v>
      </c>
    </row>
    <row r="15" spans="1:13" ht="24.95" customHeight="1" x14ac:dyDescent="0.25">
      <c r="A15" s="11" t="s">
        <v>41</v>
      </c>
      <c r="B15" s="10">
        <v>0</v>
      </c>
      <c r="C15" s="10">
        <v>16</v>
      </c>
      <c r="D15" s="12">
        <f t="shared" si="0"/>
        <v>0</v>
      </c>
      <c r="E15" s="10">
        <v>0</v>
      </c>
      <c r="F15" s="10">
        <v>7</v>
      </c>
      <c r="G15" s="12">
        <f t="shared" si="1"/>
        <v>0</v>
      </c>
      <c r="H15" s="10">
        <v>0</v>
      </c>
      <c r="I15" s="10">
        <v>1</v>
      </c>
      <c r="J15" s="12">
        <f t="shared" si="2"/>
        <v>0</v>
      </c>
      <c r="K15" s="10">
        <v>0</v>
      </c>
      <c r="L15" s="10">
        <v>1</v>
      </c>
      <c r="M15" s="12">
        <f>K15/L15*100</f>
        <v>0</v>
      </c>
    </row>
    <row r="18" ht="14.45" customHeight="1" x14ac:dyDescent="0.25"/>
    <row r="19" ht="15" customHeight="1" x14ac:dyDescent="0.25"/>
  </sheetData>
  <mergeCells count="6">
    <mergeCell ref="A1:M1"/>
    <mergeCell ref="K2:M2"/>
    <mergeCell ref="H2:J2"/>
    <mergeCell ref="E2:G2"/>
    <mergeCell ref="B2:D2"/>
    <mergeCell ref="A2:A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26CB7-15A4-4F7C-87A0-013E07192BF4}">
  <sheetPr codeName="Sheet3"/>
  <dimension ref="A1:M14"/>
  <sheetViews>
    <sheetView rightToLeft="1" topLeftCell="I4" zoomScale="85" zoomScaleNormal="85" workbookViewId="0">
      <selection activeCell="L21" sqref="L21"/>
    </sheetView>
  </sheetViews>
  <sheetFormatPr defaultRowHeight="15" x14ac:dyDescent="0.25"/>
  <cols>
    <col min="1" max="12" width="25.7109375" customWidth="1"/>
    <col min="13" max="13" width="25.7109375" style="2" customWidth="1"/>
  </cols>
  <sheetData>
    <row r="1" spans="1:13" ht="35.1" customHeight="1" x14ac:dyDescent="0.25">
      <c r="A1" s="19" t="s">
        <v>33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</row>
    <row r="2" spans="1:13" ht="35.1" customHeight="1" x14ac:dyDescent="0.25">
      <c r="A2" s="11" t="s">
        <v>45</v>
      </c>
      <c r="B2" s="11" t="s">
        <v>32</v>
      </c>
      <c r="C2" s="8" t="s">
        <v>50</v>
      </c>
      <c r="D2" s="11" t="s">
        <v>6</v>
      </c>
      <c r="E2" s="11" t="s">
        <v>32</v>
      </c>
      <c r="F2" s="8" t="s">
        <v>51</v>
      </c>
      <c r="G2" s="11" t="s">
        <v>6</v>
      </c>
      <c r="H2" s="11" t="s">
        <v>32</v>
      </c>
      <c r="I2" s="8" t="s">
        <v>52</v>
      </c>
      <c r="J2" s="11" t="s">
        <v>6</v>
      </c>
      <c r="K2" s="11" t="s">
        <v>32</v>
      </c>
      <c r="L2" s="8" t="s">
        <v>53</v>
      </c>
      <c r="M2" s="11" t="s">
        <v>6</v>
      </c>
    </row>
    <row r="3" spans="1:13" ht="24.95" customHeight="1" x14ac:dyDescent="0.25">
      <c r="A3" s="11" t="s">
        <v>46</v>
      </c>
      <c r="B3" s="10">
        <v>1</v>
      </c>
      <c r="C3" s="10">
        <v>6</v>
      </c>
      <c r="D3" s="12">
        <f>B3/C3*100</f>
        <v>16.666666666666664</v>
      </c>
      <c r="E3" s="10">
        <v>0</v>
      </c>
      <c r="F3" s="10">
        <v>3</v>
      </c>
      <c r="G3" s="12">
        <f>E3/F3*100</f>
        <v>0</v>
      </c>
      <c r="H3" s="10">
        <v>1</v>
      </c>
      <c r="I3" s="10">
        <v>1</v>
      </c>
      <c r="J3" s="12">
        <f>H3/I3*100</f>
        <v>100</v>
      </c>
      <c r="K3" s="10">
        <v>0</v>
      </c>
      <c r="L3" s="10">
        <v>1</v>
      </c>
      <c r="M3" s="12">
        <f>K3/L3*100</f>
        <v>0</v>
      </c>
    </row>
    <row r="4" spans="1:13" ht="24.95" customHeight="1" x14ac:dyDescent="0.25">
      <c r="A4" s="11" t="s">
        <v>3</v>
      </c>
      <c r="B4" s="10">
        <v>2</v>
      </c>
      <c r="C4" s="10">
        <v>11</v>
      </c>
      <c r="D4" s="12">
        <f t="shared" ref="D4:D12" si="0">B4/C4*100</f>
        <v>18.181818181818183</v>
      </c>
      <c r="E4" s="10">
        <v>1</v>
      </c>
      <c r="F4" s="10">
        <v>2</v>
      </c>
      <c r="G4" s="12">
        <f t="shared" ref="G4:G14" si="1">E4/F4*100</f>
        <v>50</v>
      </c>
      <c r="H4" s="10">
        <v>1</v>
      </c>
      <c r="I4" s="10">
        <v>1</v>
      </c>
      <c r="J4" s="12">
        <f t="shared" ref="J4:J14" si="2">H4/I4*100</f>
        <v>100</v>
      </c>
      <c r="K4" s="10">
        <v>0</v>
      </c>
      <c r="L4" s="10">
        <v>0</v>
      </c>
      <c r="M4" s="12" t="e">
        <f t="shared" ref="M4:M14" si="3">K4/L4*100</f>
        <v>#DIV/0!</v>
      </c>
    </row>
    <row r="5" spans="1:13" ht="24.95" customHeight="1" x14ac:dyDescent="0.25">
      <c r="A5" s="11" t="s">
        <v>47</v>
      </c>
      <c r="B5" s="10">
        <v>2</v>
      </c>
      <c r="C5" s="10">
        <v>7</v>
      </c>
      <c r="D5" s="12">
        <f t="shared" si="0"/>
        <v>28.571428571428569</v>
      </c>
      <c r="E5" s="10">
        <v>0</v>
      </c>
      <c r="F5" s="10">
        <v>1</v>
      </c>
      <c r="G5" s="12">
        <f t="shared" si="1"/>
        <v>0</v>
      </c>
      <c r="H5" s="10">
        <v>1</v>
      </c>
      <c r="I5" s="10">
        <v>1</v>
      </c>
      <c r="J5" s="12">
        <f t="shared" si="2"/>
        <v>100</v>
      </c>
      <c r="K5" s="10">
        <v>0</v>
      </c>
      <c r="L5" s="10">
        <v>1</v>
      </c>
      <c r="M5" s="12">
        <f t="shared" si="3"/>
        <v>0</v>
      </c>
    </row>
    <row r="6" spans="1:13" ht="24.95" customHeight="1" x14ac:dyDescent="0.25">
      <c r="A6" s="11" t="s">
        <v>67</v>
      </c>
      <c r="B6" s="10">
        <v>8</v>
      </c>
      <c r="C6" s="10">
        <v>17</v>
      </c>
      <c r="D6" s="12">
        <f t="shared" si="0"/>
        <v>47.058823529411761</v>
      </c>
      <c r="E6" s="10">
        <v>2</v>
      </c>
      <c r="F6" s="10">
        <v>3</v>
      </c>
      <c r="G6" s="12">
        <f t="shared" si="1"/>
        <v>66.666666666666657</v>
      </c>
      <c r="H6" s="10">
        <v>3</v>
      </c>
      <c r="I6" s="10">
        <v>3</v>
      </c>
      <c r="J6" s="12">
        <f t="shared" si="2"/>
        <v>100</v>
      </c>
      <c r="K6" s="10">
        <v>0</v>
      </c>
      <c r="L6" s="10">
        <v>3</v>
      </c>
      <c r="M6" s="12">
        <f t="shared" si="3"/>
        <v>0</v>
      </c>
    </row>
    <row r="7" spans="1:13" ht="24.95" customHeight="1" x14ac:dyDescent="0.25">
      <c r="A7" s="11" t="s">
        <v>68</v>
      </c>
      <c r="B7" s="10">
        <v>6</v>
      </c>
      <c r="C7" s="10">
        <v>22</v>
      </c>
      <c r="D7" s="12">
        <f t="shared" si="0"/>
        <v>27.27272727272727</v>
      </c>
      <c r="E7" s="10">
        <v>0</v>
      </c>
      <c r="F7" s="10">
        <v>2</v>
      </c>
      <c r="G7" s="12">
        <f t="shared" si="1"/>
        <v>0</v>
      </c>
      <c r="H7" s="10">
        <v>2</v>
      </c>
      <c r="I7" s="10">
        <v>2</v>
      </c>
      <c r="J7" s="12">
        <f t="shared" si="2"/>
        <v>100</v>
      </c>
      <c r="K7" s="10">
        <v>0</v>
      </c>
      <c r="L7" s="10">
        <v>2</v>
      </c>
      <c r="M7" s="12">
        <f t="shared" si="3"/>
        <v>0</v>
      </c>
    </row>
    <row r="8" spans="1:13" ht="24.95" customHeight="1" x14ac:dyDescent="0.25">
      <c r="A8" s="11" t="s">
        <v>71</v>
      </c>
      <c r="B8" s="10">
        <v>2</v>
      </c>
      <c r="C8" s="10">
        <v>7</v>
      </c>
      <c r="D8" s="12">
        <f t="shared" si="0"/>
        <v>28.571428571428569</v>
      </c>
      <c r="E8" s="10">
        <v>0</v>
      </c>
      <c r="F8" s="10">
        <v>8</v>
      </c>
      <c r="G8" s="12">
        <f t="shared" si="1"/>
        <v>0</v>
      </c>
      <c r="H8" s="10">
        <v>1</v>
      </c>
      <c r="I8" s="10">
        <v>1</v>
      </c>
      <c r="J8" s="12">
        <f t="shared" si="2"/>
        <v>100</v>
      </c>
      <c r="K8" s="10">
        <v>0</v>
      </c>
      <c r="L8" s="10">
        <v>1</v>
      </c>
      <c r="M8" s="12">
        <f t="shared" si="3"/>
        <v>0</v>
      </c>
    </row>
    <row r="9" spans="1:13" ht="24.95" customHeight="1" x14ac:dyDescent="0.25">
      <c r="A9" s="11" t="s">
        <v>38</v>
      </c>
      <c r="B9" s="10">
        <v>1</v>
      </c>
      <c r="C9" s="10">
        <v>12</v>
      </c>
      <c r="D9" s="12">
        <f t="shared" si="0"/>
        <v>8.3333333333333321</v>
      </c>
      <c r="E9" s="10">
        <v>0</v>
      </c>
      <c r="F9" s="10">
        <v>2</v>
      </c>
      <c r="G9" s="12">
        <f t="shared" si="1"/>
        <v>0</v>
      </c>
      <c r="H9" s="10">
        <v>0</v>
      </c>
      <c r="I9" s="10">
        <v>1</v>
      </c>
      <c r="J9" s="12">
        <f t="shared" si="2"/>
        <v>0</v>
      </c>
      <c r="K9" s="10">
        <v>0</v>
      </c>
      <c r="L9" s="10">
        <v>1</v>
      </c>
      <c r="M9" s="12">
        <f t="shared" si="3"/>
        <v>0</v>
      </c>
    </row>
    <row r="10" spans="1:13" ht="24.95" customHeight="1" x14ac:dyDescent="0.25">
      <c r="A10" s="11" t="s">
        <v>39</v>
      </c>
      <c r="B10" s="10">
        <v>3</v>
      </c>
      <c r="C10" s="10">
        <v>8</v>
      </c>
      <c r="D10" s="12">
        <f t="shared" si="0"/>
        <v>37.5</v>
      </c>
      <c r="E10" s="10">
        <v>0</v>
      </c>
      <c r="F10" s="10">
        <v>1</v>
      </c>
      <c r="G10" s="12">
        <f t="shared" si="1"/>
        <v>0</v>
      </c>
      <c r="H10" s="10">
        <v>1</v>
      </c>
      <c r="I10" s="10">
        <v>1</v>
      </c>
      <c r="J10" s="12">
        <f t="shared" si="2"/>
        <v>100</v>
      </c>
      <c r="K10" s="10">
        <v>0</v>
      </c>
      <c r="L10" s="10">
        <v>1</v>
      </c>
      <c r="M10" s="12">
        <f t="shared" si="3"/>
        <v>0</v>
      </c>
    </row>
    <row r="11" spans="1:13" ht="24.95" customHeight="1" x14ac:dyDescent="0.25">
      <c r="A11" s="11" t="s">
        <v>40</v>
      </c>
      <c r="B11" s="10">
        <v>0</v>
      </c>
      <c r="C11" s="10">
        <v>10</v>
      </c>
      <c r="D11" s="12">
        <f t="shared" si="0"/>
        <v>0</v>
      </c>
      <c r="E11" s="10">
        <v>0</v>
      </c>
      <c r="F11" s="10">
        <v>1</v>
      </c>
      <c r="G11" s="12">
        <f t="shared" si="1"/>
        <v>0</v>
      </c>
      <c r="H11" s="10">
        <v>0</v>
      </c>
      <c r="I11" s="10">
        <v>1</v>
      </c>
      <c r="J11" s="12">
        <f t="shared" si="2"/>
        <v>0</v>
      </c>
      <c r="K11" s="10">
        <v>0</v>
      </c>
      <c r="L11" s="10">
        <v>1</v>
      </c>
      <c r="M11" s="12">
        <f t="shared" si="3"/>
        <v>0</v>
      </c>
    </row>
    <row r="12" spans="1:13" ht="24.95" customHeight="1" x14ac:dyDescent="0.25">
      <c r="A12" s="11" t="s">
        <v>69</v>
      </c>
      <c r="B12" s="10">
        <v>0</v>
      </c>
      <c r="C12" s="10">
        <v>4</v>
      </c>
      <c r="D12" s="12">
        <f t="shared" si="0"/>
        <v>0</v>
      </c>
      <c r="E12" s="10">
        <v>0</v>
      </c>
      <c r="F12" s="10">
        <v>3</v>
      </c>
      <c r="G12" s="12">
        <f t="shared" si="1"/>
        <v>0</v>
      </c>
      <c r="H12" s="10">
        <v>0</v>
      </c>
      <c r="I12" s="10">
        <v>1</v>
      </c>
      <c r="J12" s="12">
        <f t="shared" si="2"/>
        <v>0</v>
      </c>
      <c r="K12" s="10">
        <v>0</v>
      </c>
      <c r="L12" s="10">
        <v>1</v>
      </c>
      <c r="M12" s="12">
        <f t="shared" si="3"/>
        <v>0</v>
      </c>
    </row>
    <row r="13" spans="1:13" ht="24.95" customHeight="1" x14ac:dyDescent="0.25">
      <c r="A13" s="11" t="s">
        <v>2</v>
      </c>
      <c r="B13" s="10">
        <v>1</v>
      </c>
      <c r="C13" s="10">
        <v>16</v>
      </c>
      <c r="D13" s="12">
        <f>B13/C13*100</f>
        <v>6.25</v>
      </c>
      <c r="E13" s="10">
        <v>0</v>
      </c>
      <c r="F13" s="10">
        <v>3</v>
      </c>
      <c r="G13" s="12">
        <f t="shared" si="1"/>
        <v>0</v>
      </c>
      <c r="H13" s="10">
        <v>1</v>
      </c>
      <c r="I13" s="10">
        <v>2</v>
      </c>
      <c r="J13" s="12">
        <f t="shared" si="2"/>
        <v>50</v>
      </c>
      <c r="K13" s="10">
        <v>0</v>
      </c>
      <c r="L13" s="10">
        <v>3</v>
      </c>
      <c r="M13" s="12">
        <f>K13/L13*100</f>
        <v>0</v>
      </c>
    </row>
    <row r="14" spans="1:13" ht="24.95" customHeight="1" x14ac:dyDescent="0.25">
      <c r="A14" s="11" t="s">
        <v>41</v>
      </c>
      <c r="B14" s="10">
        <v>0</v>
      </c>
      <c r="C14" s="10">
        <v>18</v>
      </c>
      <c r="D14" s="12">
        <f>B14/C14*100</f>
        <v>0</v>
      </c>
      <c r="E14" s="10">
        <v>0</v>
      </c>
      <c r="F14" s="10">
        <v>3</v>
      </c>
      <c r="G14" s="12">
        <f t="shared" si="1"/>
        <v>0</v>
      </c>
      <c r="H14" s="10">
        <v>0</v>
      </c>
      <c r="I14" s="10">
        <v>2</v>
      </c>
      <c r="J14" s="12">
        <f t="shared" si="2"/>
        <v>0</v>
      </c>
      <c r="K14" s="10">
        <v>0</v>
      </c>
      <c r="L14" s="10">
        <v>2</v>
      </c>
      <c r="M14" s="12">
        <f t="shared" si="3"/>
        <v>0</v>
      </c>
    </row>
  </sheetData>
  <mergeCells count="1">
    <mergeCell ref="A1:M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9FCBF-D00A-4658-AF49-E1D82A02D611}">
  <sheetPr codeName="Sheet4"/>
  <dimension ref="A1:M11"/>
  <sheetViews>
    <sheetView rightToLeft="1" zoomScale="85" zoomScaleNormal="85" workbookViewId="0">
      <selection activeCell="H8" sqref="B8:I11"/>
    </sheetView>
  </sheetViews>
  <sheetFormatPr defaultRowHeight="20.25" x14ac:dyDescent="0.55000000000000004"/>
  <cols>
    <col min="1" max="1" width="25.7109375" style="4" customWidth="1"/>
    <col min="2" max="2" width="25.7109375" style="6" customWidth="1"/>
    <col min="3" max="13" width="25.7109375" style="4" customWidth="1"/>
    <col min="14" max="16384" width="9.140625" style="4"/>
  </cols>
  <sheetData>
    <row r="1" spans="1:13" ht="35.1" customHeight="1" x14ac:dyDescent="0.55000000000000004">
      <c r="A1" s="22" t="s">
        <v>61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</row>
    <row r="2" spans="1:13" ht="35.1" customHeight="1" x14ac:dyDescent="0.55000000000000004">
      <c r="A2" s="11" t="s">
        <v>49</v>
      </c>
      <c r="B2" s="8" t="s">
        <v>46</v>
      </c>
      <c r="C2" s="8" t="s">
        <v>3</v>
      </c>
      <c r="D2" s="11" t="s">
        <v>47</v>
      </c>
      <c r="E2" s="11" t="s">
        <v>67</v>
      </c>
      <c r="F2" s="8" t="s">
        <v>68</v>
      </c>
      <c r="G2" s="11" t="s">
        <v>71</v>
      </c>
      <c r="H2" s="11" t="s">
        <v>38</v>
      </c>
      <c r="I2" s="8" t="s">
        <v>39</v>
      </c>
      <c r="J2" s="8" t="s">
        <v>40</v>
      </c>
      <c r="K2" s="8" t="s">
        <v>69</v>
      </c>
      <c r="L2" s="8" t="s">
        <v>2</v>
      </c>
      <c r="M2" s="8" t="s">
        <v>41</v>
      </c>
    </row>
    <row r="3" spans="1:13" ht="24.95" customHeight="1" x14ac:dyDescent="0.55000000000000004">
      <c r="A3" s="15" t="s">
        <v>0</v>
      </c>
      <c r="B3" s="14">
        <v>0.16666666666666699</v>
      </c>
      <c r="C3" s="14">
        <v>0.18181818181818199</v>
      </c>
      <c r="D3" s="14">
        <v>0.28571428571428598</v>
      </c>
      <c r="E3" s="14">
        <v>0.47058823529411797</v>
      </c>
      <c r="F3" s="14">
        <v>0.27272727272727271</v>
      </c>
      <c r="G3" s="14">
        <v>0.28571428571428575</v>
      </c>
      <c r="H3" s="14">
        <v>8.3333333333333343E-2</v>
      </c>
      <c r="I3" s="14">
        <v>0.375</v>
      </c>
      <c r="J3" s="14">
        <v>0</v>
      </c>
      <c r="K3" s="14">
        <v>0</v>
      </c>
      <c r="L3" s="14">
        <v>6.25E-2</v>
      </c>
      <c r="M3" s="14">
        <v>0</v>
      </c>
    </row>
    <row r="4" spans="1:13" ht="24.95" customHeight="1" x14ac:dyDescent="0.55000000000000004">
      <c r="A4" s="15" t="s">
        <v>29</v>
      </c>
      <c r="B4" s="14">
        <v>0</v>
      </c>
      <c r="C4" s="14">
        <v>0.5</v>
      </c>
      <c r="D4" s="14">
        <v>0</v>
      </c>
      <c r="E4" s="14">
        <v>0.66666666666666696</v>
      </c>
      <c r="F4" s="14">
        <v>0</v>
      </c>
      <c r="G4" s="14">
        <v>0</v>
      </c>
      <c r="H4" s="14">
        <v>0</v>
      </c>
      <c r="I4" s="14">
        <v>0</v>
      </c>
      <c r="J4" s="14">
        <v>0</v>
      </c>
      <c r="K4" s="14">
        <v>0</v>
      </c>
      <c r="L4" s="14">
        <v>0</v>
      </c>
      <c r="M4" s="14">
        <v>0</v>
      </c>
    </row>
    <row r="5" spans="1:13" ht="24.95" customHeight="1" x14ac:dyDescent="0.55000000000000004">
      <c r="A5" s="15" t="s">
        <v>30</v>
      </c>
      <c r="B5" s="13">
        <v>1</v>
      </c>
      <c r="C5" s="13">
        <v>1</v>
      </c>
      <c r="D5" s="13">
        <v>1</v>
      </c>
      <c r="E5" s="13">
        <v>1</v>
      </c>
      <c r="F5" s="13">
        <v>1</v>
      </c>
      <c r="G5" s="13">
        <v>1</v>
      </c>
      <c r="H5" s="13">
        <v>0</v>
      </c>
      <c r="I5" s="13">
        <v>1</v>
      </c>
      <c r="J5" s="13">
        <v>0</v>
      </c>
      <c r="K5" s="13">
        <v>0</v>
      </c>
      <c r="L5" s="13">
        <v>0.5</v>
      </c>
      <c r="M5" s="13">
        <v>0</v>
      </c>
    </row>
    <row r="6" spans="1:13" ht="24.95" customHeight="1" x14ac:dyDescent="0.55000000000000004">
      <c r="A6" s="15" t="s">
        <v>1</v>
      </c>
      <c r="B6" s="13">
        <v>0</v>
      </c>
      <c r="C6" s="13">
        <v>0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>
        <v>0</v>
      </c>
      <c r="L6" s="13">
        <v>0</v>
      </c>
      <c r="M6" s="13">
        <v>0</v>
      </c>
    </row>
    <row r="8" spans="1:13" s="17" customFormat="1" ht="35.1" customHeight="1" x14ac:dyDescent="0.25">
      <c r="B8" s="26" t="s">
        <v>62</v>
      </c>
      <c r="C8" s="26"/>
      <c r="E8" s="19" t="s">
        <v>63</v>
      </c>
      <c r="F8" s="19"/>
      <c r="H8" s="19" t="s">
        <v>64</v>
      </c>
      <c r="I8" s="19"/>
      <c r="K8" s="19" t="s">
        <v>65</v>
      </c>
      <c r="L8" s="19"/>
    </row>
    <row r="9" spans="1:13" ht="35.1" customHeight="1" x14ac:dyDescent="0.55000000000000004">
      <c r="B9" s="8" t="s">
        <v>66</v>
      </c>
      <c r="C9" s="8" t="s">
        <v>57</v>
      </c>
      <c r="E9" s="8" t="s">
        <v>66</v>
      </c>
      <c r="F9" s="8" t="s">
        <v>57</v>
      </c>
      <c r="H9" s="8" t="s">
        <v>66</v>
      </c>
      <c r="I9" s="8" t="s">
        <v>57</v>
      </c>
      <c r="K9" s="8" t="s">
        <v>66</v>
      </c>
      <c r="L9" s="8" t="s">
        <v>57</v>
      </c>
    </row>
    <row r="10" spans="1:13" ht="24.95" customHeight="1" x14ac:dyDescent="0.55000000000000004">
      <c r="B10" s="16">
        <v>26</v>
      </c>
      <c r="C10" s="10">
        <v>138</v>
      </c>
      <c r="E10" s="16">
        <v>3</v>
      </c>
      <c r="F10" s="10">
        <v>32</v>
      </c>
      <c r="G10" s="7"/>
      <c r="H10" s="16">
        <v>11</v>
      </c>
      <c r="I10" s="10">
        <v>17</v>
      </c>
      <c r="J10" s="7"/>
      <c r="K10" s="16">
        <v>0</v>
      </c>
      <c r="L10" s="10">
        <v>17</v>
      </c>
    </row>
    <row r="11" spans="1:13" ht="24.95" customHeight="1" x14ac:dyDescent="0.55000000000000004">
      <c r="B11" s="24">
        <f>B10/C10</f>
        <v>0.18840579710144928</v>
      </c>
      <c r="C11" s="24"/>
      <c r="E11" s="24">
        <f>E10/F10</f>
        <v>9.375E-2</v>
      </c>
      <c r="F11" s="24"/>
      <c r="G11" s="7"/>
      <c r="H11" s="25">
        <f>H10/I10</f>
        <v>0.6470588235294118</v>
      </c>
      <c r="I11" s="25"/>
      <c r="J11" s="7"/>
      <c r="K11" s="25">
        <f>K10/L10</f>
        <v>0</v>
      </c>
      <c r="L11" s="25"/>
    </row>
  </sheetData>
  <mergeCells count="9">
    <mergeCell ref="A1:M1"/>
    <mergeCell ref="E11:F11"/>
    <mergeCell ref="K11:L11"/>
    <mergeCell ref="H11:I11"/>
    <mergeCell ref="B11:C11"/>
    <mergeCell ref="B8:C8"/>
    <mergeCell ref="E8:F8"/>
    <mergeCell ref="H8:I8"/>
    <mergeCell ref="K8:L8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93F80-9FEC-4F33-B85C-62BB763EC694}">
  <sheetPr codeName="Sheet5"/>
  <dimension ref="A1:AF4"/>
  <sheetViews>
    <sheetView rightToLeft="1" tabSelected="1" zoomScale="85" zoomScaleNormal="85" workbookViewId="0">
      <selection activeCell="C13" sqref="C13"/>
    </sheetView>
  </sheetViews>
  <sheetFormatPr defaultColWidth="8.85546875" defaultRowHeight="15" x14ac:dyDescent="0.25"/>
  <cols>
    <col min="1" max="1" width="25.7109375" style="1" customWidth="1"/>
    <col min="2" max="32" width="40.7109375" style="3" customWidth="1"/>
    <col min="33" max="16384" width="8.85546875" style="3"/>
  </cols>
  <sheetData>
    <row r="1" spans="1:32" ht="35.1" customHeight="1" x14ac:dyDescent="0.25">
      <c r="A1" s="19" t="s">
        <v>42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</row>
    <row r="2" spans="1:32" ht="24.95" customHeight="1" x14ac:dyDescent="0.25">
      <c r="A2" s="11" t="s">
        <v>37</v>
      </c>
      <c r="B2" s="21" t="s">
        <v>36</v>
      </c>
      <c r="C2" s="21"/>
      <c r="D2" s="21" t="s">
        <v>35</v>
      </c>
      <c r="E2" s="21"/>
      <c r="F2" s="21"/>
      <c r="G2" s="21" t="s">
        <v>34</v>
      </c>
      <c r="H2" s="21"/>
      <c r="I2" s="21"/>
      <c r="J2" s="21" t="s">
        <v>67</v>
      </c>
      <c r="K2" s="21"/>
      <c r="L2" s="21"/>
      <c r="M2" s="27" t="s">
        <v>68</v>
      </c>
      <c r="N2" s="27"/>
      <c r="O2" s="27" t="s">
        <v>71</v>
      </c>
      <c r="P2" s="27"/>
      <c r="Q2" s="27"/>
      <c r="R2" s="27" t="s">
        <v>38</v>
      </c>
      <c r="S2" s="27"/>
      <c r="T2" s="27" t="s">
        <v>39</v>
      </c>
      <c r="U2" s="27"/>
      <c r="V2" s="27" t="s">
        <v>40</v>
      </c>
      <c r="W2" s="27"/>
      <c r="X2" s="27"/>
      <c r="Y2" s="27"/>
      <c r="Z2" s="27" t="s">
        <v>69</v>
      </c>
      <c r="AA2" s="27"/>
      <c r="AB2" s="27"/>
      <c r="AC2" s="28" t="s">
        <v>2</v>
      </c>
      <c r="AD2" s="29"/>
      <c r="AE2" s="28" t="s">
        <v>41</v>
      </c>
      <c r="AF2" s="29"/>
    </row>
    <row r="3" spans="1:32" ht="50.1" customHeight="1" x14ac:dyDescent="0.25">
      <c r="A3" s="11" t="s">
        <v>48</v>
      </c>
      <c r="B3" s="8" t="s">
        <v>7</v>
      </c>
      <c r="C3" s="8" t="s">
        <v>8</v>
      </c>
      <c r="D3" s="8" t="s">
        <v>9</v>
      </c>
      <c r="E3" s="8" t="s">
        <v>10</v>
      </c>
      <c r="F3" s="8" t="s">
        <v>11</v>
      </c>
      <c r="G3" s="8" t="s">
        <v>12</v>
      </c>
      <c r="H3" s="8" t="s">
        <v>13</v>
      </c>
      <c r="I3" s="8" t="s">
        <v>14</v>
      </c>
      <c r="J3" s="8" t="s">
        <v>72</v>
      </c>
      <c r="K3" s="8" t="s">
        <v>73</v>
      </c>
      <c r="L3" s="8" t="s">
        <v>74</v>
      </c>
      <c r="M3" s="8" t="s">
        <v>75</v>
      </c>
      <c r="N3" s="8" t="s">
        <v>76</v>
      </c>
      <c r="O3" s="8" t="s">
        <v>15</v>
      </c>
      <c r="P3" s="8" t="s">
        <v>16</v>
      </c>
      <c r="Q3" s="8" t="s">
        <v>17</v>
      </c>
      <c r="R3" s="8" t="s">
        <v>18</v>
      </c>
      <c r="S3" s="8" t="s">
        <v>77</v>
      </c>
      <c r="T3" s="8" t="s">
        <v>19</v>
      </c>
      <c r="U3" s="8" t="s">
        <v>20</v>
      </c>
      <c r="V3" s="8" t="s">
        <v>21</v>
      </c>
      <c r="W3" s="8" t="s">
        <v>22</v>
      </c>
      <c r="X3" s="8" t="s">
        <v>23</v>
      </c>
      <c r="Y3" s="8" t="s">
        <v>24</v>
      </c>
      <c r="Z3" s="8" t="s">
        <v>78</v>
      </c>
      <c r="AA3" s="8" t="s">
        <v>79</v>
      </c>
      <c r="AB3" s="8" t="s">
        <v>80</v>
      </c>
      <c r="AC3" s="8" t="s">
        <v>25</v>
      </c>
      <c r="AD3" s="8" t="s">
        <v>26</v>
      </c>
      <c r="AE3" s="8" t="s">
        <v>27</v>
      </c>
      <c r="AF3" s="8" t="s">
        <v>28</v>
      </c>
    </row>
    <row r="4" spans="1:32" ht="39.950000000000003" customHeight="1" x14ac:dyDescent="0.25">
      <c r="A4" s="8" t="s">
        <v>70</v>
      </c>
      <c r="B4" s="18">
        <v>5</v>
      </c>
      <c r="C4" s="18">
        <v>0</v>
      </c>
      <c r="D4" s="18">
        <v>15</v>
      </c>
      <c r="E4" s="18">
        <v>25</v>
      </c>
      <c r="F4" s="18">
        <v>0</v>
      </c>
      <c r="G4" s="18">
        <v>15</v>
      </c>
      <c r="H4" s="18">
        <v>50</v>
      </c>
      <c r="I4" s="18">
        <v>0</v>
      </c>
      <c r="J4" s="18">
        <v>0</v>
      </c>
      <c r="K4" s="18">
        <v>80</v>
      </c>
      <c r="L4" s="18">
        <v>0</v>
      </c>
      <c r="M4" s="18">
        <v>10</v>
      </c>
      <c r="N4" s="18">
        <v>0</v>
      </c>
      <c r="O4" s="18">
        <v>0</v>
      </c>
      <c r="P4" s="18">
        <v>0</v>
      </c>
      <c r="Q4" s="18">
        <v>0</v>
      </c>
      <c r="R4" s="18">
        <v>0</v>
      </c>
      <c r="S4" s="18">
        <v>0</v>
      </c>
      <c r="T4" s="18">
        <v>12.5</v>
      </c>
      <c r="U4" s="18">
        <v>0</v>
      </c>
      <c r="V4" s="18">
        <v>0</v>
      </c>
      <c r="W4" s="18">
        <v>0</v>
      </c>
      <c r="X4" s="18">
        <v>0</v>
      </c>
      <c r="Y4" s="18">
        <v>0</v>
      </c>
      <c r="Z4" s="18">
        <v>0</v>
      </c>
      <c r="AA4" s="18">
        <v>0</v>
      </c>
      <c r="AB4" s="18">
        <v>0</v>
      </c>
      <c r="AC4" s="18">
        <v>0</v>
      </c>
      <c r="AD4" s="18">
        <v>0</v>
      </c>
      <c r="AE4" s="18">
        <v>0</v>
      </c>
      <c r="AF4" s="18">
        <v>0</v>
      </c>
    </row>
  </sheetData>
  <mergeCells count="13">
    <mergeCell ref="A1:AF1"/>
    <mergeCell ref="T2:U2"/>
    <mergeCell ref="V2:Y2"/>
    <mergeCell ref="Z2:AB2"/>
    <mergeCell ref="J2:L2"/>
    <mergeCell ref="M2:N2"/>
    <mergeCell ref="B2:C2"/>
    <mergeCell ref="D2:F2"/>
    <mergeCell ref="G2:I2"/>
    <mergeCell ref="O2:Q2"/>
    <mergeCell ref="R2:S2"/>
    <mergeCell ref="AC2:AD2"/>
    <mergeCell ref="AE2:AF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3.1</vt:lpstr>
      <vt:lpstr>3.2</vt:lpstr>
      <vt:lpstr>3.3</vt:lpstr>
      <vt:lpstr>3.4</vt:lpstr>
      <vt:lpstr>3.5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Parand Tech Group</dc:creator>
  <cp:lastModifiedBy>yasin hedayati</cp:lastModifiedBy>
  <dcterms:created xsi:type="dcterms:W3CDTF">2022-12-07T06:40:07Z</dcterms:created>
  <dcterms:modified xsi:type="dcterms:W3CDTF">2026-06-20T07:07:02Z</dcterms:modified>
</cp:coreProperties>
</file>